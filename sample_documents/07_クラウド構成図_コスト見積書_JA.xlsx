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スト見積もり (Cost Estima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9"/>
      <sz val="16"/>
    </font>
    <font>
      <name val="Meiryo"/>
      <b val="1"/>
      <color rgb="00595959"/>
      <sz val="10"/>
    </font>
    <font>
      <name val="Meiryo"/>
      <color rgb="00000000"/>
      <sz val="10"/>
    </font>
    <font>
      <name val="Meiryo"/>
      <b val="1"/>
      <color rgb="00FFFFFF"/>
      <sz val="11"/>
    </font>
    <font>
      <name val="Meiryo"/>
      <b val="1"/>
      <sz val="10"/>
    </font>
    <font>
      <name val="Meiryo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0" fillId="3" borderId="1" pivotButton="0" quotePrefix="0" xfId="0"/>
    <xf numFmtId="0" fontId="5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0" fillId="4" borderId="2" pivotButton="0" quotePrefix="0" xfId="0"/>
    <xf numFmtId="0" fontId="5" fillId="4" borderId="2" applyAlignment="1" pivotButton="0" quotePrefix="0" xfId="0">
      <alignment horizontal="right"/>
    </xf>
    <xf numFmtId="3" fontId="6" fillId="4" borderId="2" applyAlignment="1" pivotButton="0" quotePrefix="0" xfId="0">
      <alignment horizontal="right"/>
    </xf>
    <xf numFmtId="0" fontId="0" fillId="5" borderId="1" pivotButton="0" quotePrefix="0" xfId="0"/>
    <xf numFmtId="0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096000" cy="3314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20" customWidth="1" min="5" max="5"/>
    <col width="38" customWidth="1" min="6" max="6"/>
    <col width="3" customWidth="1" min="7" max="7"/>
  </cols>
  <sheetData>
    <row r="1">
      <c r="A1" s="1" t="inlineStr">
        <is>
          <t>AWSクラウド基盤構築・月額コスト見積書</t>
        </is>
      </c>
    </row>
    <row r="3">
      <c r="A3" s="2" t="inlineStr">
        <is>
          <t>案件名 (Project):</t>
        </is>
      </c>
      <c r="B3" s="3" t="inlineStr">
        <is>
          <t>ECサイト刷新基盤構築プロジェクト</t>
        </is>
      </c>
      <c r="D3" s="2" t="inlineStr">
        <is>
          <t>作成者 (Author):</t>
        </is>
      </c>
      <c r="E3" s="3" t="inlineStr">
        <is>
          <t>田中 健一 (BrSE)</t>
        </is>
      </c>
    </row>
    <row r="4">
      <c r="A4" s="2" t="inlineStr">
        <is>
          <t>作成日 (Date):</t>
        </is>
      </c>
      <c r="B4" s="3" t="inlineStr">
        <is>
          <t>2026年09月04日</t>
        </is>
      </c>
      <c r="D4" s="2" t="inlineStr">
        <is>
          <t>通貨 (Currency):</t>
        </is>
      </c>
      <c r="E4" s="3" t="inlineStr">
        <is>
          <t>JPY (日本円)</t>
        </is>
      </c>
    </row>
    <row r="5">
      <c r="A5" s="4" t="inlineStr">
        <is>
          <t>No.</t>
        </is>
      </c>
      <c r="B5" s="5" t="inlineStr">
        <is>
          <t>品目 (Cloud Service)</t>
        </is>
      </c>
      <c r="C5" s="5" t="inlineStr">
        <is>
          <t>単価 (JPY)</t>
        </is>
      </c>
      <c r="D5" s="4" t="inlineStr">
        <is>
          <t>数量</t>
        </is>
      </c>
      <c r="E5" s="5" t="inlineStr">
        <is>
          <t>金額 (Total JPY)</t>
        </is>
      </c>
      <c r="F5" s="5" t="inlineStr">
        <is>
          <t>備考 (Specification)</t>
        </is>
      </c>
    </row>
    <row r="6">
      <c r="A6" s="6" t="n">
        <v>1</v>
      </c>
      <c r="B6" s="7" t="inlineStr">
        <is>
          <t>Amazon CloudFront</t>
        </is>
      </c>
      <c r="C6" s="8" t="n">
        <v>25000</v>
      </c>
      <c r="D6" s="6" t="n">
        <v>1</v>
      </c>
      <c r="E6" s="9">
        <f>C6*D6</f>
        <v/>
      </c>
      <c r="F6" s="7" t="inlineStr">
        <is>
          <t>CDN配信・キャッシュ高速化</t>
        </is>
      </c>
    </row>
    <row r="7">
      <c r="A7" s="6" t="n">
        <v>2</v>
      </c>
      <c r="B7" s="7" t="inlineStr">
        <is>
          <t>Application Load Balancer</t>
        </is>
      </c>
      <c r="C7" s="8" t="n">
        <v>35000</v>
      </c>
      <c r="D7" s="6" t="n">
        <v>1</v>
      </c>
      <c r="E7" s="9">
        <f>C7*D7</f>
        <v/>
      </c>
      <c r="F7" s="7" t="inlineStr">
        <is>
          <t>トラフィック分散・SSL/TLS終端</t>
        </is>
      </c>
    </row>
    <row r="8">
      <c r="A8" s="6" t="n">
        <v>3</v>
      </c>
      <c r="B8" s="7" t="inlineStr">
        <is>
          <t>AWS Fargate (ECS)</t>
        </is>
      </c>
      <c r="C8" s="8" t="n">
        <v>65000</v>
      </c>
      <c r="D8" s="6" t="n">
        <v>2</v>
      </c>
      <c r="E8" s="9">
        <f>C8*D8</f>
        <v/>
      </c>
      <c r="F8" s="7" t="inlineStr">
        <is>
          <t>マイクロサービスコンテナ基盤 (4vCPU / 16GB)</t>
        </is>
      </c>
    </row>
    <row r="9">
      <c r="A9" s="6" t="n">
        <v>4</v>
      </c>
      <c r="B9" s="7" t="inlineStr">
        <is>
          <t>Amazon Aurora MySQL</t>
        </is>
      </c>
      <c r="C9" s="8" t="n">
        <v>180000</v>
      </c>
      <c r="D9" s="6" t="n">
        <v>1</v>
      </c>
      <c r="E9" s="9">
        <f>C9*D9</f>
        <v/>
      </c>
      <c r="F9" s="7" t="inlineStr">
        <is>
          <t>マルチAZ高可用性構成 (db.r6g.xlarge)</t>
        </is>
      </c>
    </row>
    <row r="10">
      <c r="A10" s="6" t="n">
        <v>5</v>
      </c>
      <c r="B10" s="7" t="inlineStr">
        <is>
          <t>Amazon S3</t>
        </is>
      </c>
      <c r="C10" s="8" t="n">
        <v>15000</v>
      </c>
      <c r="D10" s="6" t="n">
        <v>1</v>
      </c>
      <c r="E10" s="9">
        <f>C10*D10</f>
        <v/>
      </c>
      <c r="F10" s="7" t="inlineStr">
        <is>
          <t>画像アセットおよび日次バックアップ保管</t>
        </is>
      </c>
    </row>
    <row r="11">
      <c r="A11" s="6" t="n">
        <v>6</v>
      </c>
      <c r="B11" s="7" t="inlineStr">
        <is>
          <t>AWS WAF</t>
        </is>
      </c>
      <c r="C11" s="8" t="n">
        <v>20000</v>
      </c>
      <c r="D11" s="6" t="n">
        <v>1</v>
      </c>
      <c r="E11" s="9">
        <f>C11*D11</f>
        <v/>
      </c>
      <c r="F11" s="7" t="inlineStr">
        <is>
          <t>OWASP Top 10 Web攻撃防御ルール</t>
        </is>
      </c>
    </row>
    <row r="12">
      <c r="A12" s="6" t="n">
        <v>7</v>
      </c>
      <c r="B12" s="7" t="inlineStr">
        <is>
          <t>Amazon CloudWatch</t>
        </is>
      </c>
      <c r="C12" s="8" t="n">
        <v>12000</v>
      </c>
      <c r="D12" s="6" t="n">
        <v>1</v>
      </c>
      <c r="E12" s="9">
        <f>C12*D12</f>
        <v/>
      </c>
      <c r="F12" s="7" t="inlineStr">
        <is>
          <t>ログ収集・メトリクス監視およびアラート通知</t>
        </is>
      </c>
    </row>
    <row r="13">
      <c r="A13" s="10" t="n"/>
      <c r="B13" s="11" t="inlineStr">
        <is>
          <t>小計 (Subtotal)</t>
        </is>
      </c>
      <c r="C13" s="10" t="n"/>
      <c r="D13" s="10" t="n"/>
      <c r="E13" s="12">
        <f>SUM(E6:E12)</f>
        <v/>
      </c>
      <c r="F13" s="10" t="inlineStr">
        <is>
          <t>税抜月額費用</t>
        </is>
      </c>
    </row>
    <row r="14">
      <c r="A14" s="7" t="n"/>
      <c r="B14" s="13" t="inlineStr">
        <is>
          <t>消費税 (Tax 10%)</t>
        </is>
      </c>
      <c r="C14" s="7" t="n"/>
      <c r="D14" s="7" t="n"/>
      <c r="E14" s="9">
        <f>ROUND(E13*0.1, 0)</f>
        <v/>
      </c>
      <c r="F14" s="7" t="inlineStr">
        <is>
          <t>標準税率 10%</t>
        </is>
      </c>
    </row>
    <row r="15">
      <c r="A15" s="14" t="n"/>
      <c r="B15" s="15" t="inlineStr">
        <is>
          <t>合計金額 (Total)</t>
        </is>
      </c>
      <c r="C15" s="14" t="n"/>
      <c r="D15" s="14" t="n"/>
      <c r="E15" s="16">
        <f>E13+E14</f>
        <v/>
      </c>
      <c r="F15" s="14" t="inlineStr">
        <is>
          <t>税込月額総額</t>
        </is>
      </c>
    </row>
    <row r="16">
      <c r="A16" s="17" t="n"/>
      <c r="B16" s="18" t="inlineStr">
        <is>
          <t>承認ステータス (Approval)</t>
        </is>
      </c>
      <c r="C16" s="17" t="n"/>
      <c r="D16" s="17" t="n"/>
      <c r="E16" s="19">
        <f>IF(E15&gt;500000, "要役員承認", "部門長承認")</f>
        <v/>
      </c>
      <c r="F16" s="17" t="inlineStr">
        <is>
          <t>50万円以上は役員決裁が必要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2026-09-04T14:51:57Z</dcterms:created>
  <dcterms:modified xmlns:dcterms="http://purl.org/dc/terms/" xmlns:xsi="http://www.w3.org/2001/XMLSchema-instance" xsi:type="dcterms:W3CDTF">2026-09-04T14:51:57Z</dcterms:modified>
</cp:coreProperties>
</file>